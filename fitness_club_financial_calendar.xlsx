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https://skyengpro-my.sharepoint.com/personal/da164_2_joohsa_kz/Documents/Рабочий стол/Skypro/11_Python/"/>
    </mc:Choice>
  </mc:AlternateContent>
  <xr:revisionPtr revIDLastSave="1" documentId="11_B97BC0F6504104BE6A583836575DCE3A07C97D0B" xr6:coauthVersionLast="47" xr6:coauthVersionMax="47" xr10:uidLastSave="{3F5E0760-C475-4F5E-A18C-767B67999FC1}"/>
  <bookViews>
    <workbookView xWindow="19090" yWindow="-110" windowWidth="19420" windowHeight="11020" xr2:uid="{00000000-000D-0000-FFFF-FFFF00000000}"/>
  </bookViews>
  <sheets>
    <sheet name="Календарная сетка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R9" i="1" l="1"/>
  <c r="AQ9" i="1"/>
  <c r="AP9" i="1"/>
  <c r="AO9" i="1"/>
  <c r="AN9" i="1"/>
  <c r="AM9" i="1"/>
  <c r="AL9" i="1"/>
  <c r="AK9" i="1"/>
  <c r="AJ9" i="1"/>
  <c r="AI9" i="1"/>
  <c r="AH9" i="1"/>
  <c r="AG9" i="1"/>
  <c r="AF9" i="1"/>
  <c r="AE9" i="1"/>
  <c r="AD9" i="1"/>
  <c r="AC9" i="1"/>
  <c r="AB9" i="1"/>
  <c r="AA9" i="1"/>
  <c r="Z9" i="1"/>
  <c r="Y9" i="1"/>
  <c r="X9" i="1"/>
  <c r="W9" i="1"/>
  <c r="V9" i="1"/>
  <c r="U9" i="1"/>
  <c r="T9" i="1"/>
  <c r="S9" i="1"/>
  <c r="R9" i="1"/>
  <c r="Q9" i="1"/>
  <c r="P9" i="1"/>
  <c r="O9" i="1"/>
  <c r="N9" i="1"/>
  <c r="M9" i="1"/>
  <c r="L9" i="1"/>
  <c r="K9" i="1"/>
  <c r="J9" i="1"/>
  <c r="I9" i="1"/>
  <c r="H9" i="1"/>
  <c r="G9" i="1"/>
  <c r="F9" i="1"/>
  <c r="E9" i="1"/>
  <c r="D9" i="1"/>
  <c r="C9" i="1"/>
  <c r="B9" i="1"/>
</calcChain>
</file>

<file path=xl/sharedStrings.xml><?xml version="1.0" encoding="utf-8"?>
<sst xmlns="http://schemas.openxmlformats.org/spreadsheetml/2006/main" count="52" uniqueCount="52">
  <si>
    <t>Категория / Дата</t>
  </si>
  <si>
    <t>19.09</t>
  </si>
  <si>
    <t>20.09</t>
  </si>
  <si>
    <t>21.09</t>
  </si>
  <si>
    <t>22.09</t>
  </si>
  <si>
    <t>23.09</t>
  </si>
  <si>
    <t>24.09</t>
  </si>
  <si>
    <t>25.09</t>
  </si>
  <si>
    <t>26.09</t>
  </si>
  <si>
    <t>27.09</t>
  </si>
  <si>
    <t>28.09</t>
  </si>
  <si>
    <t>29.09</t>
  </si>
  <si>
    <t>30.09</t>
  </si>
  <si>
    <t>01.10</t>
  </si>
  <si>
    <t>02.10</t>
  </si>
  <si>
    <t>03.10</t>
  </si>
  <si>
    <t>04.10</t>
  </si>
  <si>
    <t>05.10</t>
  </si>
  <si>
    <t>06.10</t>
  </si>
  <si>
    <t>07.10</t>
  </si>
  <si>
    <t>08.10</t>
  </si>
  <si>
    <t>09.10</t>
  </si>
  <si>
    <t>10.10</t>
  </si>
  <si>
    <t>11.10</t>
  </si>
  <si>
    <t>12.10</t>
  </si>
  <si>
    <t>13.10</t>
  </si>
  <si>
    <t>14.10</t>
  </si>
  <si>
    <t>15.10</t>
  </si>
  <si>
    <t>16.10</t>
  </si>
  <si>
    <t>17.10</t>
  </si>
  <si>
    <t>18.10</t>
  </si>
  <si>
    <t>19.10</t>
  </si>
  <si>
    <t>20.10</t>
  </si>
  <si>
    <t>21.10</t>
  </si>
  <si>
    <t>22.10</t>
  </si>
  <si>
    <t>23.10</t>
  </si>
  <si>
    <t>24.10</t>
  </si>
  <si>
    <t>25.10</t>
  </si>
  <si>
    <t>26.10</t>
  </si>
  <si>
    <t>27.10</t>
  </si>
  <si>
    <t>28.10</t>
  </si>
  <si>
    <t>29.10</t>
  </si>
  <si>
    <t>30.10</t>
  </si>
  <si>
    <t>31.10</t>
  </si>
  <si>
    <t>Спортивное питание</t>
  </si>
  <si>
    <t>Фитнес-гаджеты</t>
  </si>
  <si>
    <t>Абонементы</t>
  </si>
  <si>
    <t>Персональные тренировки</t>
  </si>
  <si>
    <t>ЗОЖ-Кафе</t>
  </si>
  <si>
    <t>СПА-услуги</t>
  </si>
  <si>
    <t>Доход клубов (СБП/АМТ)</t>
  </si>
  <si>
    <t>ИТОГО РАСХОДОВ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</si>
</sst>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64" formatCode="#,##0;[Red]\-#,##0;&quot;-&quot;"/>
  </numFmts>
  <fonts count="5" x14ac:knownFonts="1">
    <font>
      <sz val="11"/>
      <color theme="1"/>
      <name val="Calibri"/>
      <family val="2"/>
      <scheme val="minor"/>
    </font>
    <font>
      <b/>
      <sz val="10"/>
      <name val="Segoe UI"/>
      <family val="2"/>
      <charset val="204"/>
    </font>
    <font>
      <sz val="10"/>
      <name val="Segoe UI"/>
      <family val="2"/>
      <charset val="204"/>
    </font>
    <font>
      <b/>
      <sz val="10"/>
      <color rgb="FFFFFFFF"/>
      <name val="Segoe UI"/>
      <family val="2"/>
      <charset val="204"/>
    </font>
    <font>
      <sz val="10"/>
      <color rgb="FF27AE60"/>
      <name val="Segoe UI"/>
      <family val="2"/>
      <charset val="204"/>
    </font>
  </fonts>
  <fills count="5">
    <fill>
      <patternFill patternType="none"/>
    </fill>
    <fill>
      <patternFill patternType="gray125"/>
    </fill>
    <fill>
      <patternFill patternType="solid">
        <fgColor rgb="FF333333"/>
        <bgColor rgb="FF333333"/>
      </patternFill>
    </fill>
    <fill>
      <patternFill patternType="solid">
        <fgColor rgb="FFF9EBEA"/>
        <bgColor rgb="FFF9EBEA"/>
      </patternFill>
    </fill>
    <fill>
      <patternFill patternType="solid">
        <fgColor rgb="FFE8F8F5"/>
        <bgColor rgb="FFE8F8F5"/>
      </patternFill>
    </fill>
  </fills>
  <borders count="2">
    <border>
      <left/>
      <right/>
      <top/>
      <bottom/>
      <diagonal/>
    </border>
    <border>
      <left style="thin">
        <color rgb="FFD0D3D4"/>
      </left>
      <right style="thin">
        <color rgb="FFD0D3D4"/>
      </right>
      <top style="thin">
        <color rgb="FFD0D3D4"/>
      </top>
      <bottom style="thin">
        <color rgb="FFD0D3D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/>
    <xf numFmtId="0" fontId="3" fillId="2" borderId="0" xfId="0" applyFont="1" applyFill="1" applyAlignment="1">
      <alignment horizontal="center"/>
    </xf>
    <xf numFmtId="0" fontId="2" fillId="0" borderId="0" xfId="0" applyFont="1"/>
    <xf numFmtId="164" fontId="2" fillId="3" borderId="1" xfId="0" applyNumberFormat="1" applyFont="1" applyFill="1" applyBorder="1"/>
    <xf numFmtId="164" fontId="2" fillId="0" borderId="1" xfId="0" applyNumberFormat="1" applyFont="1" applyBorder="1"/>
    <xf numFmtId="164" fontId="4" fillId="3" borderId="1" xfId="0" applyNumberFormat="1" applyFont="1" applyFill="1" applyBorder="1"/>
    <xf numFmtId="164" fontId="4" fillId="0" borderId="1" xfId="0" applyNumberFormat="1" applyFont="1" applyBorder="1"/>
    <xf numFmtId="164" fontId="1" fillId="4" borderId="1" xfId="0" applyNumberFormat="1" applyFont="1" applyFill="1" applyBorder="1"/>
  </cellXfs>
  <cellStyles count="1">
    <cellStyle name="Обычный" xfId="0" builtinId="0"/>
  </cellStyles>
  <dxfs count="0"/>
  <tableStyles count="1" defaultTableStyle="TableStyleMedium9" defaultPivotStyle="PivotStyleLight16">
    <tableStyle name="Invisible" pivot="0" table="0" count="0" xr9:uid="{34BE34E7-164F-4F7C-BC7A-D705621F974C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R9"/>
  <sheetViews>
    <sheetView tabSelected="1" workbookViewId="0">
      <selection activeCell="B9" sqref="B9"/>
    </sheetView>
  </sheetViews>
  <sheetFormatPr defaultRowHeight="14.4" x14ac:dyDescent="0.3"/>
  <cols>
    <col min="1" max="1" width="25" customWidth="1"/>
    <col min="2" max="2" width="13" customWidth="1"/>
    <col min="3" max="3" width="19" customWidth="1"/>
    <col min="4" max="5" width="13" customWidth="1"/>
    <col min="6" max="6" width="19" customWidth="1"/>
    <col min="7" max="7" width="20" customWidth="1"/>
    <col min="8" max="8" width="13" customWidth="1"/>
    <col min="9" max="10" width="19" customWidth="1"/>
    <col min="11" max="11" width="13" customWidth="1"/>
    <col min="12" max="12" width="20" customWidth="1"/>
    <col min="13" max="14" width="13" customWidth="1"/>
    <col min="15" max="17" width="20" customWidth="1"/>
    <col min="18" max="20" width="13" customWidth="1"/>
    <col min="21" max="21" width="20" customWidth="1"/>
    <col min="22" max="22" width="13" customWidth="1"/>
    <col min="23" max="23" width="20" customWidth="1"/>
    <col min="24" max="26" width="13" customWidth="1"/>
    <col min="27" max="29" width="15" customWidth="1"/>
    <col min="30" max="30" width="20" customWidth="1"/>
    <col min="31" max="31" width="19" customWidth="1"/>
    <col min="32" max="32" width="15" customWidth="1"/>
    <col min="33" max="33" width="19" customWidth="1"/>
    <col min="34" max="34" width="15" customWidth="1"/>
    <col min="35" max="37" width="20" customWidth="1"/>
    <col min="38" max="38" width="15" customWidth="1"/>
    <col min="39" max="39" width="19" customWidth="1"/>
    <col min="40" max="41" width="15" customWidth="1"/>
    <col min="42" max="42" width="19" customWidth="1"/>
    <col min="43" max="44" width="15" customWidth="1"/>
  </cols>
  <sheetData>
    <row r="1" spans="1:44" ht="15" x14ac:dyDescent="0.3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2" t="s">
        <v>35</v>
      </c>
      <c r="AK1" s="2" t="s">
        <v>36</v>
      </c>
      <c r="AL1" s="2" t="s">
        <v>37</v>
      </c>
      <c r="AM1" s="2" t="s">
        <v>38</v>
      </c>
      <c r="AN1" s="2" t="s">
        <v>39</v>
      </c>
      <c r="AO1" s="2" t="s">
        <v>40</v>
      </c>
      <c r="AP1" s="2" t="s">
        <v>41</v>
      </c>
      <c r="AQ1" s="2" t="s">
        <v>42</v>
      </c>
      <c r="AR1" s="2" t="s">
        <v>43</v>
      </c>
    </row>
    <row r="2" spans="1:44" ht="15" x14ac:dyDescent="0.35">
      <c r="A2" s="3" t="s">
        <v>44</v>
      </c>
      <c r="B2" s="4">
        <v>0</v>
      </c>
      <c r="C2" s="4">
        <v>1082.17</v>
      </c>
      <c r="D2" s="5">
        <v>1186.72</v>
      </c>
      <c r="E2" s="5">
        <v>363.18</v>
      </c>
      <c r="F2" s="5">
        <v>0</v>
      </c>
      <c r="G2" s="5">
        <v>1452.6</v>
      </c>
      <c r="H2" s="5">
        <v>3120.44</v>
      </c>
      <c r="I2" s="4">
        <v>454.93</v>
      </c>
      <c r="J2" s="4">
        <v>209.56</v>
      </c>
      <c r="K2" s="5">
        <v>139.44</v>
      </c>
      <c r="L2" s="5">
        <v>1686.42</v>
      </c>
      <c r="M2" s="5">
        <v>1962.52</v>
      </c>
      <c r="N2" s="5">
        <v>764.44</v>
      </c>
      <c r="O2" s="5">
        <v>404.54</v>
      </c>
      <c r="P2" s="4">
        <v>683.62</v>
      </c>
      <c r="Q2" s="4">
        <v>1770.61</v>
      </c>
      <c r="R2" s="5">
        <v>1471.8</v>
      </c>
      <c r="S2" s="5">
        <v>641.96</v>
      </c>
      <c r="T2" s="5">
        <v>913.94</v>
      </c>
      <c r="U2" s="5">
        <v>465.69</v>
      </c>
      <c r="V2" s="5">
        <v>518.38</v>
      </c>
      <c r="W2" s="4">
        <v>1019.23</v>
      </c>
      <c r="X2" s="4">
        <v>685.86</v>
      </c>
      <c r="Y2" s="5">
        <v>1169.45</v>
      </c>
      <c r="Z2" s="5">
        <v>622.88</v>
      </c>
      <c r="AA2" s="5">
        <v>44.43</v>
      </c>
      <c r="AB2" s="5">
        <v>1000.32</v>
      </c>
      <c r="AC2" s="5">
        <v>1630.85</v>
      </c>
      <c r="AD2" s="4">
        <v>928.53</v>
      </c>
      <c r="AE2" s="4">
        <v>282.83999999999997</v>
      </c>
      <c r="AF2" s="5">
        <v>1064.58</v>
      </c>
      <c r="AG2" s="5">
        <v>938.55</v>
      </c>
      <c r="AH2" s="5">
        <v>254.79</v>
      </c>
      <c r="AI2" s="5">
        <v>1130.1300000000001</v>
      </c>
      <c r="AJ2" s="5">
        <v>2439.9299999999998</v>
      </c>
      <c r="AK2" s="4">
        <v>970.12000000000012</v>
      </c>
      <c r="AL2" s="4">
        <v>424.32</v>
      </c>
      <c r="AM2" s="5">
        <v>880.32999999999993</v>
      </c>
      <c r="AN2" s="5">
        <v>373.57</v>
      </c>
      <c r="AO2" s="5">
        <v>0</v>
      </c>
      <c r="AP2" s="5">
        <v>1478.24</v>
      </c>
      <c r="AQ2" s="5">
        <v>505.75</v>
      </c>
      <c r="AR2" s="4">
        <v>0</v>
      </c>
    </row>
    <row r="3" spans="1:44" ht="15" x14ac:dyDescent="0.35">
      <c r="A3" s="3" t="s">
        <v>45</v>
      </c>
      <c r="B3" s="4">
        <v>256.3</v>
      </c>
      <c r="C3" s="4">
        <v>757</v>
      </c>
      <c r="D3" s="5">
        <v>776.28</v>
      </c>
      <c r="E3" s="5">
        <v>1236.56</v>
      </c>
      <c r="F3" s="5">
        <v>1847.79</v>
      </c>
      <c r="G3" s="5">
        <v>672.06</v>
      </c>
      <c r="H3" s="5">
        <v>222.74</v>
      </c>
      <c r="I3" s="4">
        <v>571.02</v>
      </c>
      <c r="J3" s="4">
        <v>1200.24</v>
      </c>
      <c r="K3" s="5">
        <v>1097.28</v>
      </c>
      <c r="L3" s="5">
        <v>372.9</v>
      </c>
      <c r="M3" s="5">
        <v>637.29999999999995</v>
      </c>
      <c r="N3" s="5">
        <v>179.44</v>
      </c>
      <c r="O3" s="5">
        <v>1118.95</v>
      </c>
      <c r="P3" s="4">
        <v>834.12</v>
      </c>
      <c r="Q3" s="4">
        <v>1163.75</v>
      </c>
      <c r="R3" s="5">
        <v>264.60000000000002</v>
      </c>
      <c r="S3" s="5">
        <v>703.09</v>
      </c>
      <c r="T3" s="5">
        <v>0</v>
      </c>
      <c r="U3" s="5">
        <v>239.49</v>
      </c>
      <c r="V3" s="5">
        <v>0</v>
      </c>
      <c r="W3" s="4">
        <v>257.10000000000002</v>
      </c>
      <c r="X3" s="4">
        <v>2579.62</v>
      </c>
      <c r="Y3" s="5">
        <v>814.78</v>
      </c>
      <c r="Z3" s="5">
        <v>1610.37</v>
      </c>
      <c r="AA3" s="5">
        <v>0</v>
      </c>
      <c r="AB3" s="5">
        <v>1860.1</v>
      </c>
      <c r="AC3" s="5">
        <v>653.85</v>
      </c>
      <c r="AD3" s="4">
        <v>1010.29</v>
      </c>
      <c r="AE3" s="4">
        <v>619.94000000000005</v>
      </c>
      <c r="AF3" s="5">
        <v>765.92</v>
      </c>
      <c r="AG3" s="5">
        <v>796.02</v>
      </c>
      <c r="AH3" s="5">
        <v>638.4</v>
      </c>
      <c r="AI3" s="5">
        <v>800.7</v>
      </c>
      <c r="AJ3" s="5">
        <v>0</v>
      </c>
      <c r="AK3" s="4">
        <v>450.56</v>
      </c>
      <c r="AL3" s="4">
        <v>681.04</v>
      </c>
      <c r="AM3" s="5">
        <v>1231.56</v>
      </c>
      <c r="AN3" s="5">
        <v>0</v>
      </c>
      <c r="AO3" s="5">
        <v>542.41</v>
      </c>
      <c r="AP3" s="5">
        <v>594.58000000000004</v>
      </c>
      <c r="AQ3" s="5">
        <v>20.34</v>
      </c>
      <c r="AR3" s="4">
        <v>0</v>
      </c>
    </row>
    <row r="4" spans="1:44" ht="15" x14ac:dyDescent="0.35">
      <c r="A4" s="3" t="s">
        <v>46</v>
      </c>
      <c r="B4" s="4">
        <v>1433.44</v>
      </c>
      <c r="C4" s="4">
        <v>567.93999999999994</v>
      </c>
      <c r="D4" s="5">
        <v>1110.0999999999999</v>
      </c>
      <c r="E4" s="5">
        <v>259.05</v>
      </c>
      <c r="F4" s="5">
        <v>0</v>
      </c>
      <c r="G4" s="5">
        <v>0</v>
      </c>
      <c r="H4" s="5">
        <v>1951.96</v>
      </c>
      <c r="I4" s="4">
        <v>1349.9</v>
      </c>
      <c r="J4" s="4">
        <v>890.42000000000007</v>
      </c>
      <c r="K4" s="5">
        <v>305.23</v>
      </c>
      <c r="L4" s="5">
        <v>940.46</v>
      </c>
      <c r="M4" s="5">
        <v>812.31</v>
      </c>
      <c r="N4" s="5">
        <v>653.24</v>
      </c>
      <c r="O4" s="5">
        <v>262.54000000000002</v>
      </c>
      <c r="P4" s="4">
        <v>1898.36</v>
      </c>
      <c r="Q4" s="4">
        <v>514.69000000000005</v>
      </c>
      <c r="R4" s="5">
        <v>1684.76</v>
      </c>
      <c r="S4" s="5">
        <v>1127.6500000000001</v>
      </c>
      <c r="T4" s="5">
        <v>1451.2</v>
      </c>
      <c r="U4" s="5">
        <v>1094.32</v>
      </c>
      <c r="V4" s="5">
        <v>791.51</v>
      </c>
      <c r="W4" s="4">
        <v>153.77000000000001</v>
      </c>
      <c r="X4" s="4">
        <v>595.51</v>
      </c>
      <c r="Y4" s="5">
        <v>623.87</v>
      </c>
      <c r="Z4" s="5">
        <v>255.96</v>
      </c>
      <c r="AA4" s="5">
        <v>638.16</v>
      </c>
      <c r="AB4" s="5">
        <v>246.6</v>
      </c>
      <c r="AC4" s="5">
        <v>96.16</v>
      </c>
      <c r="AD4" s="4">
        <v>308.8</v>
      </c>
      <c r="AE4" s="4">
        <v>545.16</v>
      </c>
      <c r="AF4" s="5">
        <v>604.45000000000005</v>
      </c>
      <c r="AG4" s="5">
        <v>824.67000000000007</v>
      </c>
      <c r="AH4" s="5">
        <v>725.56</v>
      </c>
      <c r="AI4" s="5">
        <v>234.18</v>
      </c>
      <c r="AJ4" s="5">
        <v>578.53</v>
      </c>
      <c r="AK4" s="4">
        <v>181.42</v>
      </c>
      <c r="AL4" s="4">
        <v>536.75</v>
      </c>
      <c r="AM4" s="5">
        <v>115.56</v>
      </c>
      <c r="AN4" s="5">
        <v>755.36</v>
      </c>
      <c r="AO4" s="5">
        <v>443.03</v>
      </c>
      <c r="AP4" s="5">
        <v>178.36</v>
      </c>
      <c r="AQ4" s="5">
        <v>1027.6099999999999</v>
      </c>
      <c r="AR4" s="4">
        <v>0</v>
      </c>
    </row>
    <row r="5" spans="1:44" ht="15" x14ac:dyDescent="0.35">
      <c r="A5" s="3" t="s">
        <v>47</v>
      </c>
      <c r="B5" s="4">
        <v>1046.58</v>
      </c>
      <c r="C5" s="4">
        <v>1071.75</v>
      </c>
      <c r="D5" s="5">
        <v>268.01</v>
      </c>
      <c r="E5" s="5">
        <v>2143.13</v>
      </c>
      <c r="F5" s="5">
        <v>639.19999999999993</v>
      </c>
      <c r="G5" s="5">
        <v>1131.1600000000001</v>
      </c>
      <c r="H5" s="5">
        <v>616.91999999999996</v>
      </c>
      <c r="I5" s="4">
        <v>245.15</v>
      </c>
      <c r="J5" s="4">
        <v>1694.45</v>
      </c>
      <c r="K5" s="5">
        <v>1259.26</v>
      </c>
      <c r="L5" s="5">
        <v>324.26</v>
      </c>
      <c r="M5" s="5">
        <v>430.28</v>
      </c>
      <c r="N5" s="5">
        <v>1334.48</v>
      </c>
      <c r="O5" s="5">
        <v>873.49</v>
      </c>
      <c r="P5" s="4">
        <v>1687.36</v>
      </c>
      <c r="Q5" s="4">
        <v>1352.68</v>
      </c>
      <c r="R5" s="5">
        <v>275.85000000000002</v>
      </c>
      <c r="S5" s="5">
        <v>1149.6300000000001</v>
      </c>
      <c r="T5" s="5">
        <v>1430.03</v>
      </c>
      <c r="U5" s="5">
        <v>370.4</v>
      </c>
      <c r="V5" s="5">
        <v>1687.93</v>
      </c>
      <c r="W5" s="4">
        <v>300.33</v>
      </c>
      <c r="X5" s="4">
        <v>0</v>
      </c>
      <c r="Y5" s="5">
        <v>1154.53</v>
      </c>
      <c r="Z5" s="5">
        <v>421.65</v>
      </c>
      <c r="AA5" s="5">
        <v>1893.93</v>
      </c>
      <c r="AB5" s="5">
        <v>358.06</v>
      </c>
      <c r="AC5" s="5">
        <v>246.28</v>
      </c>
      <c r="AD5" s="4">
        <v>505.83</v>
      </c>
      <c r="AE5" s="4">
        <v>779.33</v>
      </c>
      <c r="AF5" s="5">
        <v>1009.83</v>
      </c>
      <c r="AG5" s="5">
        <v>811.91000000000008</v>
      </c>
      <c r="AH5" s="5">
        <v>187.44</v>
      </c>
      <c r="AI5" s="5">
        <v>696.75</v>
      </c>
      <c r="AJ5" s="5">
        <v>529.13</v>
      </c>
      <c r="AK5" s="4">
        <v>1856.62</v>
      </c>
      <c r="AL5" s="4">
        <v>130.19999999999999</v>
      </c>
      <c r="AM5" s="5">
        <v>397.62</v>
      </c>
      <c r="AN5" s="5">
        <v>606.53</v>
      </c>
      <c r="AO5" s="5">
        <v>1416.1</v>
      </c>
      <c r="AP5" s="5">
        <v>968.91999999999985</v>
      </c>
      <c r="AQ5" s="5">
        <v>598.86</v>
      </c>
      <c r="AR5" s="4">
        <v>0</v>
      </c>
    </row>
    <row r="6" spans="1:44" ht="15" x14ac:dyDescent="0.35">
      <c r="A6" s="3" t="s">
        <v>48</v>
      </c>
      <c r="B6" s="4">
        <v>1766.58</v>
      </c>
      <c r="C6" s="4">
        <v>604.29</v>
      </c>
      <c r="D6" s="5">
        <v>263.67</v>
      </c>
      <c r="E6" s="5">
        <v>96.87</v>
      </c>
      <c r="F6" s="5">
        <v>368.28</v>
      </c>
      <c r="G6" s="5">
        <v>2477.61</v>
      </c>
      <c r="H6" s="5">
        <v>68.349999999999994</v>
      </c>
      <c r="I6" s="4">
        <v>675.2</v>
      </c>
      <c r="J6" s="4">
        <v>1094.04</v>
      </c>
      <c r="K6" s="5">
        <v>389.39</v>
      </c>
      <c r="L6" s="5">
        <v>125.32</v>
      </c>
      <c r="M6" s="5">
        <v>46.24</v>
      </c>
      <c r="N6" s="5">
        <v>581.67999999999995</v>
      </c>
      <c r="O6" s="5">
        <v>642.39</v>
      </c>
      <c r="P6" s="4">
        <v>34.74</v>
      </c>
      <c r="Q6" s="4">
        <v>0</v>
      </c>
      <c r="R6" s="5">
        <v>279.26</v>
      </c>
      <c r="S6" s="5">
        <v>32.15</v>
      </c>
      <c r="T6" s="5">
        <v>726.04</v>
      </c>
      <c r="U6" s="5">
        <v>508.33</v>
      </c>
      <c r="V6" s="5">
        <v>1182.42</v>
      </c>
      <c r="W6" s="4">
        <v>2459.5300000000002</v>
      </c>
      <c r="X6" s="4">
        <v>732</v>
      </c>
      <c r="Y6" s="5">
        <v>550.65</v>
      </c>
      <c r="Z6" s="5">
        <v>124.48</v>
      </c>
      <c r="AA6" s="5">
        <v>1455.66</v>
      </c>
      <c r="AB6" s="5">
        <v>1070.25</v>
      </c>
      <c r="AC6" s="5">
        <v>410.82</v>
      </c>
      <c r="AD6" s="4">
        <v>640.27</v>
      </c>
      <c r="AE6" s="4">
        <v>964.6099999999999</v>
      </c>
      <c r="AF6" s="5">
        <v>794.89</v>
      </c>
      <c r="AG6" s="5">
        <v>1051.56</v>
      </c>
      <c r="AH6" s="5">
        <v>874.78</v>
      </c>
      <c r="AI6" s="5">
        <v>1414.02</v>
      </c>
      <c r="AJ6" s="5">
        <v>481.09</v>
      </c>
      <c r="AK6" s="4">
        <v>623.16</v>
      </c>
      <c r="AL6" s="4">
        <v>1956.71</v>
      </c>
      <c r="AM6" s="5">
        <v>391.76</v>
      </c>
      <c r="AN6" s="5">
        <v>1601.39</v>
      </c>
      <c r="AO6" s="5">
        <v>588.9</v>
      </c>
      <c r="AP6" s="5">
        <v>976.93000000000006</v>
      </c>
      <c r="AQ6" s="5">
        <v>1707.17</v>
      </c>
      <c r="AR6" s="4">
        <v>0</v>
      </c>
    </row>
    <row r="7" spans="1:44" ht="15" x14ac:dyDescent="0.35">
      <c r="A7" s="3" t="s">
        <v>49</v>
      </c>
      <c r="B7" s="4">
        <v>624.62</v>
      </c>
      <c r="C7" s="4">
        <v>785.59999999999991</v>
      </c>
      <c r="D7" s="5">
        <v>760.77</v>
      </c>
      <c r="E7" s="5">
        <v>356.2</v>
      </c>
      <c r="F7" s="5">
        <v>2477</v>
      </c>
      <c r="G7" s="5">
        <v>126.6</v>
      </c>
      <c r="H7" s="5">
        <v>0</v>
      </c>
      <c r="I7" s="4">
        <v>800.16000000000008</v>
      </c>
      <c r="J7" s="4">
        <v>62.93</v>
      </c>
      <c r="K7" s="5">
        <v>1004.27</v>
      </c>
      <c r="L7" s="5">
        <v>1260.1600000000001</v>
      </c>
      <c r="M7" s="5">
        <v>1735.63</v>
      </c>
      <c r="N7" s="5">
        <v>620.76</v>
      </c>
      <c r="O7" s="5">
        <v>1335.57</v>
      </c>
      <c r="P7" s="4">
        <v>290.60000000000002</v>
      </c>
      <c r="Q7" s="4">
        <v>71.959999999999994</v>
      </c>
      <c r="R7" s="5">
        <v>237.44</v>
      </c>
      <c r="S7" s="5">
        <v>1437.22</v>
      </c>
      <c r="T7" s="5">
        <v>444.22</v>
      </c>
      <c r="U7" s="5">
        <v>2917.29</v>
      </c>
      <c r="V7" s="5">
        <v>1040.3800000000001</v>
      </c>
      <c r="W7" s="4">
        <v>1269.6600000000001</v>
      </c>
      <c r="X7" s="4">
        <v>357.3</v>
      </c>
      <c r="Y7" s="5">
        <v>575.6</v>
      </c>
      <c r="Z7" s="5">
        <v>1253.17</v>
      </c>
      <c r="AA7" s="5">
        <v>573.99</v>
      </c>
      <c r="AB7" s="5">
        <v>298.7</v>
      </c>
      <c r="AC7" s="5">
        <v>1134.48</v>
      </c>
      <c r="AD7" s="4">
        <v>1236.95</v>
      </c>
      <c r="AE7" s="4">
        <v>758.08999999999992</v>
      </c>
      <c r="AF7" s="5">
        <v>0</v>
      </c>
      <c r="AG7" s="5">
        <v>649.04</v>
      </c>
      <c r="AH7" s="5">
        <v>33.93</v>
      </c>
      <c r="AI7" s="5">
        <v>134.31</v>
      </c>
      <c r="AJ7" s="5">
        <v>455.17</v>
      </c>
      <c r="AK7" s="4">
        <v>64.72</v>
      </c>
      <c r="AL7" s="4">
        <v>162.08000000000001</v>
      </c>
      <c r="AM7" s="5">
        <v>660.27</v>
      </c>
      <c r="AN7" s="5">
        <v>937.05</v>
      </c>
      <c r="AO7" s="5">
        <v>517.37</v>
      </c>
      <c r="AP7" s="5">
        <v>1372.59</v>
      </c>
      <c r="AQ7" s="5">
        <v>428.9</v>
      </c>
      <c r="AR7" s="4">
        <v>225.18</v>
      </c>
    </row>
    <row r="8" spans="1:44" ht="15" x14ac:dyDescent="0.35">
      <c r="A8" s="3" t="s">
        <v>50</v>
      </c>
      <c r="B8" s="6">
        <v>0</v>
      </c>
      <c r="C8" s="6">
        <v>25000</v>
      </c>
      <c r="D8" s="7">
        <v>0</v>
      </c>
      <c r="E8" s="7">
        <v>15000</v>
      </c>
      <c r="F8" s="7">
        <v>25000</v>
      </c>
      <c r="G8" s="7">
        <v>15000</v>
      </c>
      <c r="H8" s="7">
        <v>15000</v>
      </c>
      <c r="I8" s="6">
        <v>15000</v>
      </c>
      <c r="J8" s="6">
        <v>0</v>
      </c>
      <c r="K8" s="7">
        <v>25000</v>
      </c>
      <c r="L8" s="7">
        <v>0</v>
      </c>
      <c r="M8" s="7">
        <v>0</v>
      </c>
      <c r="N8" s="7">
        <v>0</v>
      </c>
      <c r="O8" s="7">
        <v>0</v>
      </c>
      <c r="P8" s="6">
        <v>0</v>
      </c>
      <c r="Q8" s="6">
        <v>25000</v>
      </c>
      <c r="R8" s="7">
        <v>0</v>
      </c>
      <c r="S8" s="7">
        <v>0</v>
      </c>
      <c r="T8" s="7">
        <v>0</v>
      </c>
      <c r="U8" s="7">
        <v>0</v>
      </c>
      <c r="V8" s="7">
        <v>15000</v>
      </c>
      <c r="W8" s="6">
        <v>0</v>
      </c>
      <c r="X8" s="6">
        <v>0</v>
      </c>
      <c r="Y8" s="7">
        <v>0</v>
      </c>
      <c r="Z8" s="7">
        <v>0</v>
      </c>
      <c r="AA8" s="7">
        <v>0</v>
      </c>
      <c r="AB8" s="7">
        <v>0</v>
      </c>
      <c r="AC8" s="7">
        <v>15000</v>
      </c>
      <c r="AD8" s="6">
        <v>25000</v>
      </c>
      <c r="AE8" s="6">
        <v>0</v>
      </c>
      <c r="AF8" s="7">
        <v>45000</v>
      </c>
      <c r="AG8" s="7">
        <v>0</v>
      </c>
      <c r="AH8" s="7">
        <v>0</v>
      </c>
      <c r="AI8" s="7">
        <v>45000</v>
      </c>
      <c r="AJ8" s="7">
        <v>0</v>
      </c>
      <c r="AK8" s="6">
        <v>45000</v>
      </c>
      <c r="AL8" s="6">
        <v>0</v>
      </c>
      <c r="AM8" s="7">
        <v>0</v>
      </c>
      <c r="AN8" s="7">
        <v>0</v>
      </c>
      <c r="AO8" s="7">
        <v>15000</v>
      </c>
      <c r="AP8" s="7">
        <v>15000</v>
      </c>
      <c r="AQ8" s="7">
        <v>15000</v>
      </c>
      <c r="AR8" s="6">
        <v>0</v>
      </c>
    </row>
    <row r="9" spans="1:44" ht="15" x14ac:dyDescent="0.35">
      <c r="A9" s="1" t="s">
        <v>51</v>
      </c>
      <c r="B9" s="8">
        <f t="shared" ref="B9:AR9" si="0">SUM(B2:B7)</f>
        <v>5127.5199999999995</v>
      </c>
      <c r="C9" s="8">
        <f t="shared" si="0"/>
        <v>4868.75</v>
      </c>
      <c r="D9" s="8">
        <f t="shared" si="0"/>
        <v>4365.5499999999993</v>
      </c>
      <c r="E9" s="8">
        <f t="shared" si="0"/>
        <v>4454.99</v>
      </c>
      <c r="F9" s="8">
        <f t="shared" si="0"/>
        <v>5332.2699999999995</v>
      </c>
      <c r="G9" s="8">
        <f t="shared" si="0"/>
        <v>5860.0300000000007</v>
      </c>
      <c r="H9" s="8">
        <f t="shared" si="0"/>
        <v>5980.4100000000008</v>
      </c>
      <c r="I9" s="8">
        <f t="shared" si="0"/>
        <v>4096.3600000000006</v>
      </c>
      <c r="J9" s="8">
        <f t="shared" si="0"/>
        <v>5151.6400000000003</v>
      </c>
      <c r="K9" s="8">
        <f t="shared" si="0"/>
        <v>4194.87</v>
      </c>
      <c r="L9" s="8">
        <f t="shared" si="0"/>
        <v>4709.5200000000004</v>
      </c>
      <c r="M9" s="8">
        <f t="shared" si="0"/>
        <v>5624.28</v>
      </c>
      <c r="N9" s="8">
        <f t="shared" si="0"/>
        <v>4134.04</v>
      </c>
      <c r="O9" s="8">
        <f t="shared" si="0"/>
        <v>4637.4799999999996</v>
      </c>
      <c r="P9" s="8">
        <f t="shared" si="0"/>
        <v>5428.8</v>
      </c>
      <c r="Q9" s="8">
        <f t="shared" si="0"/>
        <v>4873.6899999999996</v>
      </c>
      <c r="R9" s="8">
        <f t="shared" si="0"/>
        <v>4213.7099999999991</v>
      </c>
      <c r="S9" s="8">
        <f t="shared" si="0"/>
        <v>5091.7000000000007</v>
      </c>
      <c r="T9" s="8">
        <f t="shared" si="0"/>
        <v>4965.43</v>
      </c>
      <c r="U9" s="8">
        <f t="shared" si="0"/>
        <v>5595.52</v>
      </c>
      <c r="V9" s="8">
        <f t="shared" si="0"/>
        <v>5220.62</v>
      </c>
      <c r="W9" s="8">
        <f t="shared" si="0"/>
        <v>5459.62</v>
      </c>
      <c r="X9" s="8">
        <f t="shared" si="0"/>
        <v>4950.29</v>
      </c>
      <c r="Y9" s="8">
        <f t="shared" si="0"/>
        <v>4888.88</v>
      </c>
      <c r="Z9" s="8">
        <f t="shared" si="0"/>
        <v>4288.51</v>
      </c>
      <c r="AA9" s="8">
        <f t="shared" si="0"/>
        <v>4606.17</v>
      </c>
      <c r="AB9" s="8">
        <f t="shared" si="0"/>
        <v>4834.03</v>
      </c>
      <c r="AC9" s="8">
        <f t="shared" si="0"/>
        <v>4172.4400000000005</v>
      </c>
      <c r="AD9" s="8">
        <f t="shared" si="0"/>
        <v>4630.67</v>
      </c>
      <c r="AE9" s="8">
        <f t="shared" si="0"/>
        <v>3949.9700000000003</v>
      </c>
      <c r="AF9" s="8">
        <f t="shared" si="0"/>
        <v>4239.67</v>
      </c>
      <c r="AG9" s="8">
        <f t="shared" si="0"/>
        <v>5071.7499999999991</v>
      </c>
      <c r="AH9" s="8">
        <f t="shared" si="0"/>
        <v>2714.9</v>
      </c>
      <c r="AI9" s="8">
        <f t="shared" si="0"/>
        <v>4410.0900000000011</v>
      </c>
      <c r="AJ9" s="8">
        <f t="shared" si="0"/>
        <v>4483.8500000000004</v>
      </c>
      <c r="AK9" s="8">
        <f t="shared" si="0"/>
        <v>4146.6000000000004</v>
      </c>
      <c r="AL9" s="8">
        <f t="shared" si="0"/>
        <v>3891.1</v>
      </c>
      <c r="AM9" s="8">
        <f t="shared" si="0"/>
        <v>3677.1</v>
      </c>
      <c r="AN9" s="8">
        <f t="shared" si="0"/>
        <v>4273.9000000000005</v>
      </c>
      <c r="AO9" s="8">
        <f t="shared" si="0"/>
        <v>3507.81</v>
      </c>
      <c r="AP9" s="8">
        <f t="shared" si="0"/>
        <v>5569.6200000000008</v>
      </c>
      <c r="AQ9" s="8">
        <f t="shared" si="0"/>
        <v>4288.63</v>
      </c>
      <c r="AR9" s="8">
        <f t="shared" si="0"/>
        <v>225.18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Календарная сетка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DA 164.2</cp:lastModifiedBy>
  <dcterms:created xsi:type="dcterms:W3CDTF">2026-10-04T13:21:40Z</dcterms:created>
  <dcterms:modified xsi:type="dcterms:W3CDTF">2026-10-04T13:33:32Z</dcterms:modified>
</cp:coreProperties>
</file>